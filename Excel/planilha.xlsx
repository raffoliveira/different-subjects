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activeTab="3"/>
  </bookViews>
  <sheets>
    <sheet name="Data" sheetId="1" r:id="rId1"/>
    <sheet name="Controller" sheetId="2" r:id="rId2"/>
    <sheet name="Dashboard" sheetId="3" r:id="rId3"/>
    <sheet name="Caixinha" sheetId="4" r:id="rId4"/>
  </sheets>
  <definedNames>
    <definedName name="_xlnm._FilterDatabase" localSheetId="0" hidden="1">Data!$A$1:$I$12</definedName>
    <definedName name="Slicer_BI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<sst xmlns="http://schemas.openxmlformats.org/spreadsheetml/2006/main" count="87" uniqueCount="54">
  <si>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>SKU</t>
  </si>
  <si>
    <t>DESCRIPTION</t>
  </si>
  <si>
    <t xml:space="preserve">BIN </t>
  </si>
  <si>
    <t>LOCATION</t>
  </si>
  <si>
    <t>UNIT</t>
  </si>
  <si>
    <t>QTY</t>
  </si>
  <si>
    <t>REORDER QTY</t>
  </si>
  <si>
    <t>COST</t>
  </si>
  <si>
    <t>INVENTORY VALUE</t>
  </si>
  <si>
    <t>SP7875</t>
  </si>
  <si>
    <t>Item 1</t>
  </si>
  <si>
    <t>T345</t>
  </si>
  <si>
    <t>Row 2, slot 1</t>
  </si>
  <si>
    <t>Each</t>
  </si>
  <si>
    <t>TR87680</t>
  </si>
  <si>
    <t>Item 2</t>
  </si>
  <si>
    <t>MK676554</t>
  </si>
  <si>
    <t>Item 3</t>
  </si>
  <si>
    <t>T5789</t>
  </si>
  <si>
    <t>Row 1, slot 1</t>
  </si>
  <si>
    <t>YE98767</t>
  </si>
  <si>
    <t>Item 4</t>
  </si>
  <si>
    <t>T9876</t>
  </si>
  <si>
    <t>Row 3, slot 2</t>
  </si>
  <si>
    <t>Box (10 ct)</t>
  </si>
  <si>
    <t>XR23423</t>
  </si>
  <si>
    <t>Item 5</t>
  </si>
  <si>
    <t>T098</t>
  </si>
  <si>
    <t>Row 3, slot 1</t>
  </si>
  <si>
    <t>PW98762</t>
  </si>
  <si>
    <t>Item 6</t>
  </si>
  <si>
    <t>BM87684</t>
  </si>
  <si>
    <t>Item 7</t>
  </si>
  <si>
    <t>T349</t>
  </si>
  <si>
    <t>Row 1, slot 2</t>
  </si>
  <si>
    <t>BH67655</t>
  </si>
  <si>
    <t>Item 8</t>
  </si>
  <si>
    <t>WT98768</t>
  </si>
  <si>
    <t>Item 9</t>
  </si>
  <si>
    <t>T9875</t>
  </si>
  <si>
    <t>Row 2, slot 2</t>
  </si>
  <si>
    <t>Package (5 ct)</t>
  </si>
  <si>
    <t>TS3456</t>
  </si>
  <si>
    <t>Item 10</t>
  </si>
  <si>
    <t>WDG123</t>
  </si>
  <si>
    <t>Item 11</t>
  </si>
  <si>
    <t>Soma de QTY</t>
  </si>
  <si>
    <t>Contagem de INVENTORY VALUE</t>
  </si>
  <si>
    <t>Total geral</t>
  </si>
  <si>
    <t>Soma de COST</t>
  </si>
  <si>
    <t>Data de Lançamento</t>
  </si>
  <si>
    <t>Depósito</t>
  </si>
  <si>
    <t>Total Reservado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</si>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</sst>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  <numFmt numFmtId="181" formatCode="&quot;R$&quot;\ #,##0.00_);[Red]\(&quot;R$&quot;\ #,###.00\)"/>
    <numFmt numFmtId="182" formatCode="&quot;US$&quot;#,##0.00;[Red]&quot;US$&quot;#,##0.00"/>
  </numFmts>
  <fonts count="21"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2"/>
      <color rgb="FF000000"/>
      <name val="Gill Sans Nova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2" borderId="0" xfId="0" applyFill="1">
      <alignment vertical="center"/>
    </xf>
    <xf numFmtId="181" fontId="0" fillId="2" borderId="0" xfId="0" applyNumberFormat="1" applyFill="1">
      <alignment vertical="center"/>
    </xf>
    <xf numFmtId="0" fontId="0" fillId="3" borderId="0" xfId="0" applyFill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4" borderId="0" xfId="25" applyFill="1" applyAlignment="1">
      <alignment horizontal="left" vertical="center" indent="1"/>
    </xf>
    <xf numFmtId="0" fontId="1" fillId="4" borderId="0" xfId="25" applyFill="1" applyAlignment="1">
      <alignment horizontal="left" vertical="center" indent="1"/>
    </xf>
    <xf numFmtId="0" fontId="1" fillId="4" borderId="0" xfId="25" applyNumberForma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indent="1"/>
    </xf>
    <xf numFmtId="0" fontId="2" fillId="0" borderId="0" xfId="0" applyNumberFormat="1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indent="1"/>
    </xf>
    <xf numFmtId="0" fontId="2" fillId="0" borderId="0" xfId="0" applyNumberFormat="1" applyFont="1" applyFill="1" applyAlignment="1">
      <alignment horizontal="left" vertical="center" inden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numFmt numFmtId="181" formatCode="&quot;R$&quot;\ #,##0.00_);[Red]\(&quot;R$&quot;\ #,###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[planilha.xlsx]Controller!Tabela 
Dinâmica1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556742061765985"/>
          <c:y val="0.119444443451034"/>
          <c:w val="0.59311004784689"/>
          <c:h val="0.49638889087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Controller!$E$4</c:f>
              <c:strCache>
                <c:ptCount val="1"/>
                <c:pt idx="0">
                  <c:v>Soma de QTY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Controller!$D$5:$D$11</c:f>
              <c:strCache>
                <c:ptCount val="6"/>
                <c:pt idx="0">
                  <c:v>Row 1, slot 1</c:v>
                </c:pt>
                <c:pt idx="1">
                  <c:v>Row 1, slot 2</c:v>
                </c:pt>
                <c:pt idx="2">
                  <c:v>Row 2, slot 1</c:v>
                </c:pt>
                <c:pt idx="3">
                  <c:v>Row 2, slot 2</c:v>
                </c:pt>
                <c:pt idx="4">
                  <c:v>Row 3, slot 1</c:v>
                </c:pt>
                <c:pt idx="5">
                  <c:v>Row 3, slot 2</c:v>
                </c:pt>
              </c:strCache>
            </c:strRef>
          </c:cat>
          <c:val>
            <c:numRef>
              <c:f>Controller!$E$5:$E$11</c:f>
              <c:numCache>
                <c:formatCode>General</c:formatCode>
                <c:ptCount val="6"/>
                <c:pt idx="0">
                  <c:v>29</c:v>
                </c:pt>
                <c:pt idx="1">
                  <c:v>50</c:v>
                </c:pt>
                <c:pt idx="2">
                  <c:v>57</c:v>
                </c:pt>
                <c:pt idx="3">
                  <c:v>20</c:v>
                </c:pt>
                <c:pt idx="4">
                  <c:v>12</c:v>
                </c:pt>
                <c:pt idx="5">
                  <c:v>40</c:v>
                </c:pt>
              </c:numCache>
            </c:numRef>
          </c:val>
        </c:ser>
        <c:ser>
          <c:idx val="1"/>
          <c:order val="1"/>
          <c:tx>
            <c:strRef>
              <c:f>Controller!$F$4</c:f>
              <c:strCache>
                <c:ptCount val="1"/>
                <c:pt idx="0">
                  <c:v>Contagem de INVENTORY VALUE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Controller!$D$5:$D$11</c:f>
              <c:strCache>
                <c:ptCount val="6"/>
                <c:pt idx="0">
                  <c:v>Row 1, slot 1</c:v>
                </c:pt>
                <c:pt idx="1">
                  <c:v>Row 1, slot 2</c:v>
                </c:pt>
                <c:pt idx="2">
                  <c:v>Row 2, slot 1</c:v>
                </c:pt>
                <c:pt idx="3">
                  <c:v>Row 2, slot 2</c:v>
                </c:pt>
                <c:pt idx="4">
                  <c:v>Row 3, slot 1</c:v>
                </c:pt>
                <c:pt idx="5">
                  <c:v>Row 3, slot 2</c:v>
                </c:pt>
              </c:strCache>
            </c:strRef>
          </c:cat>
          <c:val>
            <c:numRef>
              <c:f>Controller!$F$5:$F$11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7264943"/>
        <c:axId val="875590730"/>
      </c:barChart>
      <c:catAx>
        <c:axId val="967264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590730"/>
        <c:crosses val="autoZero"/>
        <c:auto val="1"/>
        <c:lblAlgn val="ctr"/>
        <c:lblOffset val="100"/>
        <c:noMultiLvlLbl val="0"/>
      </c:catAx>
      <c:valAx>
        <c:axId val="875590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2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a3fb29-9956-4568-9675-b284050763a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[planilha.xlsx]Controller!Tabela 
Dinâmica3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Controller!$D$16:$D$22</c:f>
              <c:strCache>
                <c:ptCount val="6"/>
                <c:pt idx="0">
                  <c:v>Row 1, slot 1</c:v>
                </c:pt>
                <c:pt idx="1">
                  <c:v>Row 1, slot 2</c:v>
                </c:pt>
                <c:pt idx="2">
                  <c:v>Row 2, slot 1</c:v>
                </c:pt>
                <c:pt idx="3">
                  <c:v>Row 2, slot 2</c:v>
                </c:pt>
                <c:pt idx="4">
                  <c:v>Row 3, slot 1</c:v>
                </c:pt>
                <c:pt idx="5">
                  <c:v>Row 3, slot 2</c:v>
                </c:pt>
              </c:strCache>
            </c:strRef>
          </c:cat>
          <c:val>
            <c:numRef>
              <c:f>Controller!$E$16:$E$22</c:f>
              <c:numCache>
                <c:formatCode>"US$"#,##0.00;[Red]"US$"#,##0.00</c:formatCode>
                <c:ptCount val="6"/>
                <c:pt idx="0">
                  <c:v>1029</c:v>
                </c:pt>
                <c:pt idx="1">
                  <c:v>6810</c:v>
                </c:pt>
                <c:pt idx="2">
                  <c:v>1023</c:v>
                </c:pt>
                <c:pt idx="3">
                  <c:v>2314</c:v>
                </c:pt>
                <c:pt idx="4">
                  <c:v>784</c:v>
                </c:pt>
                <c:pt idx="5">
                  <c:v>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98797803"/>
        <c:axId val="462303196"/>
      </c:barChart>
      <c:catAx>
        <c:axId val="3987978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303196"/>
        <c:crosses val="autoZero"/>
        <c:auto val="1"/>
        <c:lblAlgn val="ctr"/>
        <c:lblOffset val="100"/>
        <c:noMultiLvlLbl val="0"/>
      </c:catAx>
      <c:valAx>
        <c:axId val="4623031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US$&quot;#,##0.00;[Red]&quot;US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97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087992-4e45-4f5f-9312-0832611ab81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Economia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Caixinha!$C$19:$C$20</c:f>
              <c:strCache>
                <c:ptCount val="2"/>
                <c:pt idx="0">
                  <c:v>Total Reservado</c:v>
                </c:pt>
                <c:pt idx="1">
                  <c:v>Meta</c:v>
                </c:pt>
              </c:strCache>
            </c:strRef>
          </c:cat>
          <c:val>
            <c:numRef>
              <c:f>Caixinha!$D$19:$D$20</c:f>
              <c:numCache>
                <c:formatCode>"R$"\ #,##0.00_);[Red]\("R$"\ #,###.00\)</c:formatCode>
                <c:ptCount val="2"/>
                <c:pt idx="0">
                  <c:v>4217</c:v>
                </c:pt>
                <c:pt idx="1">
                  <c:v>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0123680"/>
        <c:axId val="786173744"/>
      </c:barChart>
      <c:catAx>
        <c:axId val="13012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173744"/>
        <c:crosses val="autoZero"/>
        <c:auto val="1"/>
        <c:lblAlgn val="ctr"/>
        <c:lblOffset val="100"/>
        <c:noMultiLvlLbl val="0"/>
      </c:catAx>
      <c:valAx>
        <c:axId val="7861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R$&quot;\ #,##0.00_);[Red]\(&quot;R$&quot;\ #,###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12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217805</xdr:colOff>
      <xdr:row>4</xdr:row>
      <xdr:rowOff>131445</xdr:rowOff>
    </xdr:from>
    <xdr:to>
      <xdr:col>10</xdr:col>
      <xdr:colOff>550545</xdr:colOff>
      <xdr:row>24</xdr:row>
      <xdr:rowOff>45085</xdr:rowOff>
    </xdr:to>
    <xdr:grpSp>
      <xdr:nvGrpSpPr>
        <xdr:cNvPr id="7" name="Grupo 6"/>
        <xdr:cNvGrpSpPr/>
      </xdr:nvGrpSpPr>
      <xdr:grpSpPr>
        <a:xfrm>
          <a:off x="2256155" y="832485"/>
          <a:ext cx="5819140" cy="3418840"/>
          <a:chOff x="3556" y="465"/>
          <a:chExt cx="9164" cy="5264"/>
        </a:xfrm>
      </xdr:grpSpPr>
      <xdr:sp>
        <xdr:nvSpPr>
          <xdr:cNvPr id="3" name="Arredondar Retângulo em um Canto Diagonal 2"/>
          <xdr:cNvSpPr/>
        </xdr:nvSpPr>
        <xdr:spPr>
          <a:xfrm>
            <a:off x="3556" y="465"/>
            <a:ext cx="9164" cy="5264"/>
          </a:xfrm>
          <a:prstGeom prst="round2Diag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graphicFrame>
        <xdr:nvGraphicFramePr>
          <xdr:cNvPr id="2" name="Gráfico 1"/>
          <xdr:cNvGraphicFramePr/>
        </xdr:nvGraphicFramePr>
        <xdr:xfrm>
          <a:off x="4116" y="1134"/>
          <a:ext cx="8044" cy="4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11</xdr:col>
      <xdr:colOff>217170</xdr:colOff>
      <xdr:row>4</xdr:row>
      <xdr:rowOff>93345</xdr:rowOff>
    </xdr:from>
    <xdr:to>
      <xdr:col>20</xdr:col>
      <xdr:colOff>407670</xdr:colOff>
      <xdr:row>24</xdr:row>
      <xdr:rowOff>59055</xdr:rowOff>
    </xdr:to>
    <xdr:grpSp>
      <xdr:nvGrpSpPr>
        <xdr:cNvPr id="10" name="Grupo 9"/>
        <xdr:cNvGrpSpPr/>
      </xdr:nvGrpSpPr>
      <xdr:grpSpPr>
        <a:xfrm>
          <a:off x="8351520" y="794385"/>
          <a:ext cx="5676900" cy="3470910"/>
          <a:chOff x="13170" y="345"/>
          <a:chExt cx="8940" cy="5346"/>
        </a:xfrm>
      </xdr:grpSpPr>
      <xdr:sp>
        <xdr:nvSpPr>
          <xdr:cNvPr id="5" name="Arredondar Retângulo em um Canto Diagonal 4"/>
          <xdr:cNvSpPr/>
        </xdr:nvSpPr>
        <xdr:spPr>
          <a:xfrm>
            <a:off x="13170" y="345"/>
            <a:ext cx="8940" cy="5347"/>
          </a:xfrm>
          <a:prstGeom prst="round2Diag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graphicFrame>
        <xdr:nvGraphicFramePr>
          <xdr:cNvPr id="4" name="Gráfico 3"/>
          <xdr:cNvGraphicFramePr/>
        </xdr:nvGraphicFramePr>
        <xdr:xfrm>
          <a:off x="13810" y="840"/>
          <a:ext cx="7659" cy="42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117475</xdr:colOff>
      <xdr:row>12</xdr:row>
      <xdr:rowOff>92710</xdr:rowOff>
    </xdr:from>
    <xdr:to>
      <xdr:col>0</xdr:col>
      <xdr:colOff>1946275</xdr:colOff>
      <xdr:row>23</xdr:row>
      <xdr:rowOff>90805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BIN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75" y="2195830"/>
              <a:ext cx="1828800" cy="1925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523875</xdr:colOff>
      <xdr:row>0</xdr:row>
      <xdr:rowOff>80010</xdr:rowOff>
    </xdr:from>
    <xdr:to>
      <xdr:col>0</xdr:col>
      <xdr:colOff>1567180</xdr:colOff>
      <xdr:row>6</xdr:row>
      <xdr:rowOff>72390</xdr:rowOff>
    </xdr:to>
    <xdr:pic>
      <xdr:nvPicPr>
        <xdr:cNvPr id="12" name="Imagem 11" descr="Inventário - ícones de transporte grátis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523875" y="80010"/>
          <a:ext cx="1043305" cy="1043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</xdr:colOff>
      <xdr:row>3</xdr:row>
      <xdr:rowOff>30480</xdr:rowOff>
    </xdr:from>
    <xdr:to>
      <xdr:col>12</xdr:col>
      <xdr:colOff>591820</xdr:colOff>
      <xdr:row>19</xdr:row>
      <xdr:rowOff>167640</xdr:rowOff>
    </xdr:to>
    <xdr:graphicFrame>
      <xdr:nvGraphicFramePr>
        <xdr:cNvPr id="2" name="Gráfico 1"/>
        <xdr:cNvGraphicFramePr/>
      </xdr:nvGraphicFramePr>
      <xdr:xfrm>
        <a:off x="4726940" y="556260"/>
        <a:ext cx="4856480" cy="29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6.30875" refreshedBy="rafae" recordCount="11">
  <cacheSource type="worksheet">
    <worksheetSource ref="A1:I12" sheet="Data"/>
  </cacheSource>
  <cacheFields count="9">
    <cacheField name="SKU" numFmtId="0">
      <sharedItems count="11">
        <s v="SP7875"/>
        <s v="TR87680"/>
        <s v="MK676554"/>
        <s v="YE98767"/>
        <s v="XR23423"/>
        <s v="PW98762"/>
        <s v="BM87684"/>
        <s v="BH67655"/>
        <s v="WT98768"/>
        <s v="TS3456"/>
        <s v="WDG123"/>
      </sharedItems>
    </cacheField>
    <cacheField name="DESCRIPTION" numFmtId="0">
      <sharedItems count="11">
        <s v="Item 1"/>
        <s v="Item 2"/>
        <s v="Item 3"/>
        <s v="Item 4"/>
        <s v="Item 5"/>
        <s v="Item 6"/>
        <s v="Item 7"/>
        <s v="Item 8"/>
        <s v="Item 9"/>
        <s v="Item 10"/>
        <s v="Item 11"/>
      </sharedItems>
    </cacheField>
    <cacheField name="BIN " numFmtId="0">
      <sharedItems count="6">
        <s v="T345"/>
        <s v="T5789"/>
        <s v="T9876"/>
        <s v="T098"/>
        <s v="T349"/>
        <s v="T9875"/>
      </sharedItems>
    </cacheField>
    <cacheField name="LOCATION" numFmtId="0">
      <sharedItems count="6">
        <s v="Row 2, slot 1"/>
        <s v="Row 1, slot 1"/>
        <s v="Row 3, slot 2"/>
        <s v="Row 3, slot 1"/>
        <s v="Row 1, slot 2"/>
        <s v="Row 2, slot 2"/>
      </sharedItems>
    </cacheField>
    <cacheField name="UNIT" numFmtId="0">
      <sharedItems count="3">
        <s v="Each"/>
        <s v="Box (10 ct)"/>
        <s v="Package (5 ct)"/>
      </sharedItems>
    </cacheField>
    <cacheField name="QTY" numFmtId="0">
      <sharedItems containsSemiMixedTypes="0" containsString="0" containsNumber="1" containsInteger="1" minValue="7" maxValue="40" count="9">
        <n v="20"/>
        <n v="30"/>
        <n v="10"/>
        <n v="40"/>
        <n v="12"/>
        <n v="7"/>
        <n v="19"/>
        <n v="15"/>
        <n v="25"/>
      </sharedItems>
    </cacheField>
    <cacheField name="REORDER QTY" numFmtId="0">
      <sharedItems containsSemiMixedTypes="0" containsString="0" containsNumber="1" containsInteger="1" minValue="5" maxValue="30" count="5">
        <n v="10"/>
        <n v="15"/>
        <n v="5"/>
        <n v="30"/>
        <n v="8"/>
      </sharedItems>
    </cacheField>
    <cacheField name="COST" numFmtId="0">
      <sharedItems containsSemiMixedTypes="0" containsString="0" containsNumber="1" containsInteger="1" minValue="25" maxValue="5621" count="11">
        <n v="30"/>
        <n v="25"/>
        <n v="566"/>
        <n v="520"/>
        <n v="784"/>
        <n v="968"/>
        <n v="774"/>
        <n v="463"/>
        <n v="2314"/>
        <n v="5621"/>
        <n v="415"/>
      </sharedItems>
    </cacheField>
    <cacheField name="INVENTORY VALUE" numFmtId="0">
      <sharedItems containsSemiMixedTypes="0" containsString="0" containsNumber="1" containsInteger="1" minValue="50" maxValue="61464" count="11">
        <n v="50"/>
        <n v="456"/>
        <n v="333"/>
        <n v="487"/>
        <n v="2151"/>
        <n v="61464"/>
        <n v="548"/>
        <n v="898"/>
        <n v="4655"/>
        <n v="566"/>
        <n v="75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</r>
  <r>
    <x v="2"/>
    <x v="2"/>
    <x v="1"/>
    <x v="1"/>
    <x v="0"/>
    <x v="2"/>
    <x v="2"/>
    <x v="2"/>
    <x v="2"/>
  </r>
  <r>
    <x v="3"/>
    <x v="3"/>
    <x v="2"/>
    <x v="2"/>
    <x v="1"/>
    <x v="3"/>
    <x v="0"/>
    <x v="3"/>
    <x v="3"/>
  </r>
  <r>
    <x v="4"/>
    <x v="4"/>
    <x v="3"/>
    <x v="3"/>
    <x v="0"/>
    <x v="4"/>
    <x v="0"/>
    <x v="4"/>
    <x v="4"/>
  </r>
  <r>
    <x v="5"/>
    <x v="5"/>
    <x v="0"/>
    <x v="0"/>
    <x v="0"/>
    <x v="5"/>
    <x v="0"/>
    <x v="5"/>
    <x v="5"/>
  </r>
  <r>
    <x v="6"/>
    <x v="6"/>
    <x v="4"/>
    <x v="4"/>
    <x v="0"/>
    <x v="2"/>
    <x v="2"/>
    <x v="6"/>
    <x v="6"/>
  </r>
  <r>
    <x v="7"/>
    <x v="7"/>
    <x v="1"/>
    <x v="1"/>
    <x v="0"/>
    <x v="6"/>
    <x v="0"/>
    <x v="7"/>
    <x v="7"/>
  </r>
  <r>
    <x v="8"/>
    <x v="8"/>
    <x v="5"/>
    <x v="5"/>
    <x v="2"/>
    <x v="0"/>
    <x v="3"/>
    <x v="8"/>
    <x v="8"/>
  </r>
  <r>
    <x v="9"/>
    <x v="9"/>
    <x v="4"/>
    <x v="4"/>
    <x v="0"/>
    <x v="7"/>
    <x v="4"/>
    <x v="9"/>
    <x v="9"/>
  </r>
  <r>
    <x v="10"/>
    <x v="10"/>
    <x v="4"/>
    <x v="4"/>
    <x v="0"/>
    <x v="8"/>
    <x v="1"/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D4:F11" firstHeaderRow="0" firstDataRow="1" firstDataCol="1"/>
  <pivotFields count="9">
    <pivotField compact="0" showAll="0">
      <items count="12">
        <item x="7"/>
        <item x="6"/>
        <item x="2"/>
        <item x="5"/>
        <item x="0"/>
        <item x="1"/>
        <item x="9"/>
        <item x="10"/>
        <item x="8"/>
        <item x="4"/>
        <item x="3"/>
        <item t="default"/>
      </items>
    </pivotField>
    <pivotField compact="0"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axis="axisRow" compact="0" multipleItemSelectionAllowed="1" showAll="0">
      <items count="7">
        <item x="1"/>
        <item x="4"/>
        <item x="0"/>
        <item x="5"/>
        <item x="3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dataField="1" compact="0" showAll="0">
      <items count="10">
        <item x="5"/>
        <item x="2"/>
        <item x="4"/>
        <item x="7"/>
        <item x="6"/>
        <item x="0"/>
        <item x="8"/>
        <item x="1"/>
        <item x="3"/>
        <item t="default"/>
      </items>
    </pivotField>
    <pivotField compact="0" showAll="0">
      <items count="6">
        <item x="2"/>
        <item x="4"/>
        <item x="0"/>
        <item x="1"/>
        <item x="3"/>
        <item t="default"/>
      </items>
    </pivotField>
    <pivotField compact="0" showAll="0">
      <items count="12">
        <item x="1"/>
        <item x="0"/>
        <item x="10"/>
        <item x="7"/>
        <item x="3"/>
        <item x="2"/>
        <item x="6"/>
        <item x="4"/>
        <item x="5"/>
        <item x="8"/>
        <item x="9"/>
        <item t="default"/>
      </items>
    </pivotField>
    <pivotField dataField="1" compact="0" showAll="0">
      <items count="12">
        <item x="0"/>
        <item x="2"/>
        <item x="1"/>
        <item x="3"/>
        <item x="6"/>
        <item x="9"/>
        <item x="10"/>
        <item x="7"/>
        <item x="4"/>
        <item x="8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TY" fld="5" baseField="0" baseItem="0"/>
    <dataField name="Contagem de INVENTORY VALUE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D15:E22" firstHeaderRow="1" firstDataRow="1" firstDataCol="1"/>
  <pivotFields count="9">
    <pivotField compact="0" showAll="0">
      <items count="12">
        <item x="7"/>
        <item x="6"/>
        <item x="2"/>
        <item x="5"/>
        <item x="0"/>
        <item x="1"/>
        <item x="9"/>
        <item x="10"/>
        <item x="8"/>
        <item x="4"/>
        <item x="3"/>
        <item t="default"/>
      </items>
    </pivotField>
    <pivotField compact="0" showAll="0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compact="0" multipleItemSelectionAllowed="1" showAll="0">
      <items count="7">
        <item x="3"/>
        <item x="0"/>
        <item x="4"/>
        <item x="1"/>
        <item x="5"/>
        <item x="2"/>
        <item t="default"/>
      </items>
    </pivotField>
    <pivotField axis="axisRow" compact="0" showAll="0">
      <items count="7">
        <item x="1"/>
        <item x="4"/>
        <item x="0"/>
        <item x="5"/>
        <item x="3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0">
        <item x="5"/>
        <item x="2"/>
        <item x="4"/>
        <item x="7"/>
        <item x="6"/>
        <item x="0"/>
        <item x="8"/>
        <item x="1"/>
        <item x="3"/>
        <item t="default"/>
      </items>
    </pivotField>
    <pivotField compact="0" showAll="0">
      <items count="6">
        <item x="2"/>
        <item x="4"/>
        <item x="0"/>
        <item x="1"/>
        <item x="3"/>
        <item t="default"/>
      </items>
    </pivotField>
    <pivotField dataField="1" compact="0" showAll="0">
      <items count="12">
        <item x="1"/>
        <item x="0"/>
        <item x="10"/>
        <item x="7"/>
        <item x="3"/>
        <item x="2"/>
        <item x="6"/>
        <item x="4"/>
        <item x="5"/>
        <item x="8"/>
        <item x="9"/>
        <item t="default"/>
      </items>
    </pivotField>
    <pivotField compact="0" showAll="0">
      <items count="12">
        <item x="0"/>
        <item x="2"/>
        <item x="1"/>
        <item x="3"/>
        <item x="6"/>
        <item x="9"/>
        <item x="10"/>
        <item x="7"/>
        <item x="4"/>
        <item x="8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COST" fld="7" baseField="0" baseItem="0" numFmtId="18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IN" sourceName="BIN ">
  <pivotTables>
    <pivotTable tabId="2" name="Tabela _x000a_Dinâmica1"/>
    <pivotTable tabId="2" name="Tabela _x000a_Dinâmica3"/>
  </pivotTables>
  <data>
    <tabular pivotCacheId="1">
      <items count="6">
        <i x="3" s="1"/>
        <i x="0" s="1"/>
        <i x="4" s="1"/>
        <i x="1" s="1"/>
        <i x="5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IN " cache="Slicer_BIN" caption="BIN " style="SlicerStyleLight3" rowHeight="193675"/>
</slicers>
</file>

<file path=xl/tables/table1.xml><?xml version="1.0" encoding="utf-8"?>
<table xmlns="http://schemas.openxmlformats.org/spreadsheetml/2006/main" id="3" name="Tabela3" displayName="Tabela3" ref="C4:D17" totalsRowShown="0">
  <autoFilter xmlns:etc="http://www.wps.cn/officeDocument/2017/etCustomData" ref="C4:D17" etc:filterBottomFollowUsedRange="0"/>
  <tableColumns count="2">
    <tableColumn id="1" name="Data de Lançamento"/>
    <tableColumn id="2" name="Depósito" dataDxfId="0">
      <calculatedColumnFormula>RANDBETWEEN(50,500)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H13" sqref="H13"/>
    </sheetView>
  </sheetViews>
  <sheetFormatPr defaultColWidth="8.88888888888889" defaultRowHeight="13.8"/>
  <cols>
    <col min="1" max="1" width="14.1111111111111" customWidth="1"/>
    <col min="2" max="2" width="16.5555555555556" customWidth="1"/>
    <col min="3" max="3" width="9.33333333333333" customWidth="1"/>
    <col min="4" max="4" width="18.4444444444444" customWidth="1"/>
    <col min="5" max="5" width="13" customWidth="1"/>
    <col min="6" max="6" width="8.55555555555556" customWidth="1"/>
    <col min="7" max="7" width="18.3333333333333" customWidth="1"/>
    <col min="8" max="8" width="10.5555555555556" style="7" customWidth="1"/>
    <col min="9" max="9" width="26" style="7" customWidth="1"/>
  </cols>
  <sheetData>
    <row r="1" ht="14.4" spans="1:9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</row>
    <row r="2" ht="30" spans="1:9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2">
        <v>20</v>
      </c>
      <c r="G2" s="12">
        <v>10</v>
      </c>
      <c r="H2" s="13">
        <v>30</v>
      </c>
      <c r="I2" s="13">
        <v>50</v>
      </c>
    </row>
    <row r="3" ht="30" spans="1:9">
      <c r="A3" s="14" t="s">
        <v>14</v>
      </c>
      <c r="B3" s="14" t="s">
        <v>15</v>
      </c>
      <c r="C3" s="14" t="s">
        <v>11</v>
      </c>
      <c r="D3" s="14" t="s">
        <v>12</v>
      </c>
      <c r="E3" s="14" t="s">
        <v>13</v>
      </c>
      <c r="F3" s="15">
        <v>30</v>
      </c>
      <c r="G3" s="15">
        <v>15</v>
      </c>
      <c r="H3" s="16">
        <v>25</v>
      </c>
      <c r="I3" s="16">
        <v>456</v>
      </c>
    </row>
    <row r="4" ht="30" spans="1:9">
      <c r="A4" s="11" t="s">
        <v>16</v>
      </c>
      <c r="B4" s="11" t="s">
        <v>17</v>
      </c>
      <c r="C4" s="11" t="s">
        <v>18</v>
      </c>
      <c r="D4" s="11" t="s">
        <v>19</v>
      </c>
      <c r="E4" s="11" t="s">
        <v>13</v>
      </c>
      <c r="F4" s="12">
        <v>10</v>
      </c>
      <c r="G4" s="12">
        <v>5</v>
      </c>
      <c r="H4" s="13">
        <v>566</v>
      </c>
      <c r="I4" s="13">
        <v>333</v>
      </c>
    </row>
    <row r="5" ht="45" spans="1:9">
      <c r="A5" s="14" t="s">
        <v>20</v>
      </c>
      <c r="B5" s="14" t="s">
        <v>21</v>
      </c>
      <c r="C5" s="14" t="s">
        <v>22</v>
      </c>
      <c r="D5" s="14" t="s">
        <v>23</v>
      </c>
      <c r="E5" s="14" t="s">
        <v>24</v>
      </c>
      <c r="F5" s="15">
        <v>40</v>
      </c>
      <c r="G5" s="15">
        <v>10</v>
      </c>
      <c r="H5" s="16">
        <v>520</v>
      </c>
      <c r="I5" s="16">
        <v>487</v>
      </c>
    </row>
    <row r="6" ht="30" spans="1:9">
      <c r="A6" s="11" t="s">
        <v>25</v>
      </c>
      <c r="B6" s="11" t="s">
        <v>26</v>
      </c>
      <c r="C6" s="11" t="s">
        <v>27</v>
      </c>
      <c r="D6" s="11" t="s">
        <v>28</v>
      </c>
      <c r="E6" s="11" t="s">
        <v>13</v>
      </c>
      <c r="F6" s="12">
        <v>12</v>
      </c>
      <c r="G6" s="12">
        <v>10</v>
      </c>
      <c r="H6" s="13">
        <v>784</v>
      </c>
      <c r="I6" s="13">
        <v>2151</v>
      </c>
    </row>
    <row r="7" ht="30" spans="1:9">
      <c r="A7" s="14" t="s">
        <v>29</v>
      </c>
      <c r="B7" s="14" t="s">
        <v>30</v>
      </c>
      <c r="C7" s="14" t="s">
        <v>11</v>
      </c>
      <c r="D7" s="14" t="s">
        <v>12</v>
      </c>
      <c r="E7" s="14" t="s">
        <v>13</v>
      </c>
      <c r="F7" s="15">
        <v>7</v>
      </c>
      <c r="G7" s="15">
        <v>10</v>
      </c>
      <c r="H7" s="16">
        <v>968</v>
      </c>
      <c r="I7" s="16">
        <v>61464</v>
      </c>
    </row>
    <row r="8" ht="30" spans="1:9">
      <c r="A8" s="11" t="s">
        <v>31</v>
      </c>
      <c r="B8" s="11" t="s">
        <v>32</v>
      </c>
      <c r="C8" s="11" t="s">
        <v>33</v>
      </c>
      <c r="D8" s="11" t="s">
        <v>34</v>
      </c>
      <c r="E8" s="11" t="s">
        <v>13</v>
      </c>
      <c r="F8" s="12">
        <v>10</v>
      </c>
      <c r="G8" s="12">
        <v>5</v>
      </c>
      <c r="H8" s="13">
        <v>774</v>
      </c>
      <c r="I8" s="13">
        <v>548</v>
      </c>
    </row>
    <row r="9" ht="30" spans="1:9">
      <c r="A9" s="14" t="s">
        <v>35</v>
      </c>
      <c r="B9" s="14" t="s">
        <v>36</v>
      </c>
      <c r="C9" s="14" t="s">
        <v>18</v>
      </c>
      <c r="D9" s="14" t="s">
        <v>19</v>
      </c>
      <c r="E9" s="14" t="s">
        <v>13</v>
      </c>
      <c r="F9" s="15">
        <v>19</v>
      </c>
      <c r="G9" s="15">
        <v>10</v>
      </c>
      <c r="H9" s="16">
        <v>463</v>
      </c>
      <c r="I9" s="16">
        <v>898</v>
      </c>
    </row>
    <row r="10" ht="45" spans="1:9">
      <c r="A10" s="14" t="s">
        <v>37</v>
      </c>
      <c r="B10" s="14" t="s">
        <v>38</v>
      </c>
      <c r="C10" s="14" t="s">
        <v>39</v>
      </c>
      <c r="D10" s="14" t="s">
        <v>40</v>
      </c>
      <c r="E10" s="14" t="s">
        <v>41</v>
      </c>
      <c r="F10" s="15">
        <v>20</v>
      </c>
      <c r="G10" s="15">
        <v>30</v>
      </c>
      <c r="H10" s="16">
        <v>2314</v>
      </c>
      <c r="I10" s="16">
        <v>4655</v>
      </c>
    </row>
    <row r="11" ht="30" spans="1:9">
      <c r="A11" s="14" t="s">
        <v>42</v>
      </c>
      <c r="B11" s="14" t="s">
        <v>43</v>
      </c>
      <c r="C11" s="14" t="s">
        <v>33</v>
      </c>
      <c r="D11" s="14" t="s">
        <v>34</v>
      </c>
      <c r="E11" s="14" t="s">
        <v>13</v>
      </c>
      <c r="F11" s="15">
        <v>15</v>
      </c>
      <c r="G11" s="15">
        <v>8</v>
      </c>
      <c r="H11" s="16">
        <v>5621</v>
      </c>
      <c r="I11" s="16">
        <v>566</v>
      </c>
    </row>
    <row r="12" ht="30" spans="1:9">
      <c r="A12" s="11" t="s">
        <v>44</v>
      </c>
      <c r="B12" s="11" t="s">
        <v>45</v>
      </c>
      <c r="C12" s="11" t="s">
        <v>33</v>
      </c>
      <c r="D12" s="11" t="s">
        <v>34</v>
      </c>
      <c r="E12" s="11" t="s">
        <v>13</v>
      </c>
      <c r="F12" s="12">
        <v>25</v>
      </c>
      <c r="G12" s="12">
        <v>15</v>
      </c>
      <c r="H12" s="13">
        <v>415</v>
      </c>
      <c r="I12" s="13">
        <v>758</v>
      </c>
    </row>
  </sheetData>
  <autoFilter xmlns:etc="http://www.wps.cn/officeDocument/2017/etCustomData" ref="A1:I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F22"/>
  <sheetViews>
    <sheetView topLeftCell="A2" workbookViewId="0">
      <selection activeCell="H10" sqref="H10"/>
    </sheetView>
  </sheetViews>
  <sheetFormatPr defaultColWidth="8.88888888888889" defaultRowHeight="13.8" outlineLevelCol="5"/>
  <cols>
    <col min="4" max="4" width="11.8888888888889"/>
    <col min="5" max="7" width="28.8888888888889"/>
  </cols>
  <sheetData>
    <row r="4" spans="4:6">
      <c r="D4" t="s">
        <v>3</v>
      </c>
      <c r="E4" t="s">
        <v>46</v>
      </c>
      <c r="F4" t="s">
        <v>47</v>
      </c>
    </row>
    <row r="5" spans="4:6">
      <c r="D5" t="s">
        <v>19</v>
      </c>
      <c r="E5">
        <v>29</v>
      </c>
      <c r="F5">
        <v>2</v>
      </c>
    </row>
    <row r="6" spans="4:6">
      <c r="D6" t="s">
        <v>34</v>
      </c>
      <c r="E6">
        <v>50</v>
      </c>
      <c r="F6">
        <v>3</v>
      </c>
    </row>
    <row r="7" spans="4:6">
      <c r="D7" t="s">
        <v>12</v>
      </c>
      <c r="E7">
        <v>57</v>
      </c>
      <c r="F7">
        <v>3</v>
      </c>
    </row>
    <row r="8" spans="4:6">
      <c r="D8" t="s">
        <v>40</v>
      </c>
      <c r="E8">
        <v>20</v>
      </c>
      <c r="F8">
        <v>1</v>
      </c>
    </row>
    <row r="9" spans="4:6">
      <c r="D9" t="s">
        <v>28</v>
      </c>
      <c r="E9">
        <v>12</v>
      </c>
      <c r="F9">
        <v>1</v>
      </c>
    </row>
    <row r="10" spans="4:6">
      <c r="D10" t="s">
        <v>23</v>
      </c>
      <c r="E10">
        <v>40</v>
      </c>
      <c r="F10">
        <v>1</v>
      </c>
    </row>
    <row r="11" spans="4:6">
      <c r="D11" t="s">
        <v>48</v>
      </c>
      <c r="E11">
        <v>208</v>
      </c>
      <c r="F11">
        <v>11</v>
      </c>
    </row>
    <row r="15" spans="4:5">
      <c r="D15" t="s">
        <v>3</v>
      </c>
      <c r="E15" t="s">
        <v>49</v>
      </c>
    </row>
    <row r="16" spans="4:5">
      <c r="D16" t="s">
        <v>19</v>
      </c>
      <c r="E16" s="6">
        <v>1029</v>
      </c>
    </row>
    <row r="17" spans="4:5">
      <c r="D17" t="s">
        <v>34</v>
      </c>
      <c r="E17" s="6">
        <v>6810</v>
      </c>
    </row>
    <row r="18" spans="4:5">
      <c r="D18" t="s">
        <v>12</v>
      </c>
      <c r="E18" s="6">
        <v>1023</v>
      </c>
    </row>
    <row r="19" spans="4:5">
      <c r="D19" t="s">
        <v>40</v>
      </c>
      <c r="E19" s="6">
        <v>2314</v>
      </c>
    </row>
    <row r="20" spans="4:5">
      <c r="D20" t="s">
        <v>28</v>
      </c>
      <c r="E20" s="6">
        <v>784</v>
      </c>
    </row>
    <row r="21" spans="4:5">
      <c r="D21" t="s">
        <v>23</v>
      </c>
      <c r="E21" s="6">
        <v>520</v>
      </c>
    </row>
    <row r="22" spans="4:5">
      <c r="D22" t="s">
        <v>48</v>
      </c>
      <c r="E22" s="6">
        <v>12480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0" zoomScaleNormal="80" workbookViewId="0">
      <selection activeCell="L27" sqref="L27"/>
    </sheetView>
  </sheetViews>
  <sheetFormatPr defaultColWidth="8.88888888888889" defaultRowHeight="13.8"/>
  <cols>
    <col min="1" max="1" width="29.7222222222222" style="5" customWidth="1"/>
    <col min="2" max="21" width="8.88888888888889" style="3"/>
    <col min="22" max="16384" width="8.88888888888889" hidden="1" customWidth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D20"/>
  <sheetViews>
    <sheetView tabSelected="1" workbookViewId="0">
      <selection activeCell="Q23" sqref="Q23"/>
    </sheetView>
  </sheetViews>
  <sheetFormatPr defaultColWidth="8.88888888888889" defaultRowHeight="13.8" outlineLevelCol="3"/>
  <cols>
    <col min="3" max="3" width="23" customWidth="1"/>
    <col min="4" max="4" width="19.2222222222222" customWidth="1"/>
  </cols>
  <sheetData>
    <row r="4" spans="3:4">
      <c r="C4" t="s">
        <v>50</v>
      </c>
      <c r="D4" t="s">
        <v>51</v>
      </c>
    </row>
    <row r="5" spans="3:4">
      <c r="C5" s="1">
        <v>46309</v>
      </c>
      <c r="D5" s="2">
        <v>344</v>
      </c>
    </row>
    <row r="6" spans="3:4">
      <c r="C6" s="1">
        <v>46310</v>
      </c>
      <c r="D6" s="2">
        <v>452</v>
      </c>
    </row>
    <row r="7" spans="3:4">
      <c r="C7" s="1">
        <v>46311</v>
      </c>
      <c r="D7" s="2">
        <v>365</v>
      </c>
    </row>
    <row r="8" spans="3:4">
      <c r="C8" s="1">
        <v>46312</v>
      </c>
      <c r="D8" s="2">
        <v>331</v>
      </c>
    </row>
    <row r="9" spans="3:4">
      <c r="C9" s="1">
        <v>46313</v>
      </c>
      <c r="D9" s="2">
        <v>212</v>
      </c>
    </row>
    <row r="10" spans="3:4">
      <c r="C10" s="1">
        <v>46314</v>
      </c>
      <c r="D10" s="2">
        <v>500</v>
      </c>
    </row>
    <row r="11" spans="3:4">
      <c r="C11" s="1">
        <v>46315</v>
      </c>
      <c r="D11" s="2">
        <v>349</v>
      </c>
    </row>
    <row r="12" spans="3:4">
      <c r="C12" s="1">
        <v>46316</v>
      </c>
      <c r="D12" s="2">
        <v>70</v>
      </c>
    </row>
    <row r="13" spans="3:4">
      <c r="C13" s="1">
        <v>46317</v>
      </c>
      <c r="D13" s="2">
        <v>439</v>
      </c>
    </row>
    <row r="14" spans="3:4">
      <c r="C14" s="1">
        <v>46318</v>
      </c>
      <c r="D14" s="2">
        <v>246</v>
      </c>
    </row>
    <row r="15" spans="3:4">
      <c r="C15" s="1">
        <v>46319</v>
      </c>
      <c r="D15" s="2">
        <v>196</v>
      </c>
    </row>
    <row r="16" spans="3:4">
      <c r="C16" s="1">
        <v>46320</v>
      </c>
      <c r="D16" s="2">
        <v>219</v>
      </c>
    </row>
    <row r="17" spans="3:4">
      <c r="C17" s="1">
        <v>46321</v>
      </c>
      <c r="D17" s="2">
        <v>494</v>
      </c>
    </row>
    <row r="18" spans="4:4">
      <c r="D18" s="2"/>
    </row>
    <row r="19" spans="3:4">
      <c r="C19" s="3" t="s">
        <v>52</v>
      </c>
      <c r="D19" s="4">
        <f>SUM(D5:D17)</f>
        <v>4217</v>
      </c>
    </row>
    <row r="20" spans="3:4">
      <c r="C20" s="3" t="s">
        <v>53</v>
      </c>
      <c r="D20" s="4">
        <v>20000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Controller</vt:lpstr>
      <vt:lpstr>Dashboard</vt:lpstr>
      <vt:lpstr>Caixinha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rafae</cp:lastModifiedBy>
  <dcterms:created xsi:type="dcterms:W3CDTF">2026-03-25T02:23:51Z</dcterms:created>
  <dcterms:modified xsi:type="dcterms:W3CDTF">2026-03-25T11:19:41Z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57EEC791F80D469E97910E4443AD9037_11</vt:lpwstr>
  </property>
  <property fmtid="{D5CDD505-2E9C-101B-9397-08002B2CF9AE}" pid="3" name="KSOProductBuildVer">
    <vt:lpwstr>1046-12.2.0.23196</vt:lpwstr>
  </property>
</Properties>
</file>